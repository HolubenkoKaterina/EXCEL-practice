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DA27D6-2567-4255-9556-C1B1B3F6136F}" xr6:coauthVersionLast="45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2" sheetId="15" r:id="rId1"/>
    <sheet name="Data" sheetId="10" r:id="rId2"/>
    <sheet name="Завдання" sheetId="13" r:id="rId3"/>
  </sheets>
  <definedNames>
    <definedName name="_xlnm._FilterDatabase" localSheetId="1" hidden="1">Data!$A$1:$G$45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2" i="10"/>
  <c r="C5" i="13"/>
  <c r="C4" i="13"/>
  <c r="C3" i="13"/>
  <c r="C2" i="13"/>
</calcChain>
</file>

<file path=xl/sharedStrings.xml><?xml version="1.0" encoding="utf-8"?>
<sst xmlns="http://schemas.openxmlformats.org/spreadsheetml/2006/main" count="156" uniqueCount="34">
  <si>
    <t>Client</t>
  </si>
  <si>
    <t>Material</t>
  </si>
  <si>
    <t>Description</t>
  </si>
  <si>
    <t>Date</t>
  </si>
  <si>
    <t>Online</t>
  </si>
  <si>
    <t>Offline</t>
  </si>
  <si>
    <t>Client1</t>
  </si>
  <si>
    <t>Підгyзники дитячі гігієнічні 40 шт BRAND1 Classic (5) м/yп</t>
  </si>
  <si>
    <t>Пiдгузники дитячi гiгiєнiчнi 40 шт BRAND1 Classic (5) м/уп</t>
  </si>
  <si>
    <t>Пiдгyзники дитячi гiгiєнiчнi 40 шт BRAND1 Classic (5) м/yп</t>
  </si>
  <si>
    <t>Підгузники дитячі гігієнічні 40 шт BRAND1 Classic (5) м/уп</t>
  </si>
  <si>
    <t>Підгyзники 50 шт BRAND2 Sleep&amp;Play з рoмашкoю (4) Maxi м/yп</t>
  </si>
  <si>
    <t>Вологi сepвeтки дитячi BRAND3 Baby 100 шт, м/уп</t>
  </si>
  <si>
    <t>Client2</t>
  </si>
  <si>
    <t>Client3</t>
  </si>
  <si>
    <t>Порахувати продажі в грн BRAND1 за весь період по всім клієнтам</t>
  </si>
  <si>
    <t>Порахувати продажі в шт Client1 за весь період в Online магазині</t>
  </si>
  <si>
    <t>Порахувати продажі в грн за 2022 рік по всім клієнтам</t>
  </si>
  <si>
    <t>Sales, UAH</t>
  </si>
  <si>
    <t>Sales, PC</t>
  </si>
  <si>
    <t>Вивести продажі в грн по BRANDам у зведену таблицю</t>
  </si>
  <si>
    <t>Відповідь</t>
  </si>
  <si>
    <t>Завдання</t>
  </si>
  <si>
    <t>№</t>
  </si>
  <si>
    <t>-</t>
  </si>
  <si>
    <t>Знайти ціну продажі артикула 152670 в вересні 2022 року</t>
  </si>
  <si>
    <t xml:space="preserve">Візуалізувати дані на одній сторінці Power BI </t>
  </si>
  <si>
    <t>Названия строк</t>
  </si>
  <si>
    <t>Общий итог</t>
  </si>
  <si>
    <t>Сумма по полю Sales, UAH</t>
  </si>
  <si>
    <t>бренд</t>
  </si>
  <si>
    <t>BRAND1</t>
  </si>
  <si>
    <t>BRAND2</t>
  </si>
  <si>
    <t>BRAND3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</si>
</sst>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/>
  </cellStyleXfs>
  <cellXfs count="20">
    <xf numFmtId="0" fontId="0" fillId="0" borderId="0" xfId="0"/>
    <xf numFmtId="0" fontId="3" fillId="0" borderId="0" xfId="0" applyFont="1"/>
    <xf numFmtId="0" fontId="6" fillId="0" borderId="0" xfId="3" applyFont="1" applyFill="1"/>
    <xf numFmtId="0" fontId="6" fillId="0" borderId="0" xfId="0" applyFont="1" applyFill="1"/>
    <xf numFmtId="14" fontId="6" fillId="0" borderId="0" xfId="3" applyNumberFormat="1" applyFont="1" applyFill="1"/>
    <xf numFmtId="0" fontId="6" fillId="0" borderId="0" xfId="0" applyFont="1" applyFill="1" applyAlignment="1">
      <alignment horizontal="center"/>
    </xf>
    <xf numFmtId="14" fontId="6" fillId="0" borderId="0" xfId="0" applyNumberFormat="1" applyFont="1" applyFill="1"/>
    <xf numFmtId="43" fontId="6" fillId="0" borderId="0" xfId="2" applyFont="1" applyFill="1"/>
    <xf numFmtId="43" fontId="3" fillId="0" borderId="0" xfId="2" applyFont="1"/>
    <xf numFmtId="164" fontId="6" fillId="0" borderId="0" xfId="2" applyNumberFormat="1" applyFont="1" applyFill="1"/>
    <xf numFmtId="164" fontId="3" fillId="0" borderId="0" xfId="2" applyNumberFormat="1" applyFont="1"/>
    <xf numFmtId="0" fontId="2" fillId="2" borderId="1" xfId="0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43" fontId="2" fillId="2" borderId="1" xfId="2" applyFont="1" applyFill="1" applyBorder="1" applyAlignment="1">
      <alignment horizontal="center"/>
    </xf>
    <xf numFmtId="43" fontId="3" fillId="0" borderId="0" xfId="2" applyFont="1" applyAlignment="1">
      <alignment horizontal="center"/>
    </xf>
    <xf numFmtId="164" fontId="3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2" applyFont="1"/>
  </cellXfs>
  <cellStyles count="7">
    <cellStyle name="Comma 2" xfId="5" xr:uid="{ADAFF677-D9C9-4753-8760-A5EB628D395F}"/>
    <cellStyle name="Comma 3" xfId="4" xr:uid="{1097DDEF-50C0-40DF-BB74-D6393C6E5DB5}"/>
    <cellStyle name="Normal 2" xfId="1" xr:uid="{9961CC65-2CC5-46D6-87C7-E81AEA282359}"/>
    <cellStyle name="Normal 2 2" xfId="6" xr:uid="{0DF56BA6-A3CD-419A-8735-CA077657819E}"/>
    <cellStyle name="Normal 3" xfId="3" xr:uid="{6D7C17F5-5F05-4316-9F2A-011918F8AB4F}"/>
    <cellStyle name="Обычный" xfId="0" builtinId="0"/>
    <cellStyle name="Финансовый" xfId="2" builtin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4" formatCode="_-* #,##0_-;\-* #,##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7.886252199074" createdVersion="6" refreshedVersion="6" minRefreshableVersion="3" recordCount="44" xr:uid="{E5DDD072-B08D-47E7-9F26-6B256CE65953}">
  <cacheSource type="worksheet">
    <worksheetSource name="Таблица1"/>
  </cacheSource>
  <cacheFields count="8">
    <cacheField name="Client" numFmtId="0">
      <sharedItems/>
    </cacheField>
    <cacheField name="Date" numFmtId="14">
      <sharedItems containsSemiMixedTypes="0" containsNonDate="0" containsDate="1" containsString="0" minDate="2020-11-01T00:00:00" maxDate="2022-09-02T00:00:00"/>
    </cacheField>
    <cacheField name="Online" numFmtId="0">
      <sharedItems/>
    </cacheField>
    <cacheField name="Material" numFmtId="0">
      <sharedItems containsSemiMixedTypes="0" containsString="0" containsNumber="1" containsInteger="1" minValue="110013" maxValue="152673"/>
    </cacheField>
    <cacheField name="Description" numFmtId="0">
      <sharedItems/>
    </cacheField>
    <cacheField name="Sales, PC" numFmtId="164">
      <sharedItems containsSemiMixedTypes="0" containsString="0" containsNumber="1" containsInteger="1" minValue="46" maxValue="59732"/>
    </cacheField>
    <cacheField name="Sales, UAH" numFmtId="43">
      <sharedItems containsSemiMixedTypes="0" containsString="0" containsNumber="1" minValue="8642.3029477035434" maxValue="7121126.2800000003"/>
    </cacheField>
    <cacheField name="бренд" numFmtId="43">
      <sharedItems count="3">
        <s v="BRAND2"/>
        <s v="BRAND3"/>
        <s v="BRAND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ient1"/>
    <d v="2022-04-01T00:00:00"/>
    <s v="Offline"/>
    <n v="110063"/>
    <s v="Підгyзники 50 шт BRAND2 Sleep&amp;Play з рoмашкoю (4) Maxi м/yп"/>
    <n v="460"/>
    <n v="102318"/>
    <x v="0"/>
  </r>
  <r>
    <s v="Client1"/>
    <d v="2022-01-01T00:00:00"/>
    <s v="Online"/>
    <n v="110063"/>
    <s v="Підгyзники 50 шт BRAND2 Sleep&amp;Play з рoмашкoю (4) Maxi м/yп"/>
    <n v="13910"/>
    <n v="2912488"/>
    <x v="0"/>
  </r>
  <r>
    <s v="Client1"/>
    <d v="2022-02-01T00:00:00"/>
    <s v="Online"/>
    <n v="110063"/>
    <s v="Підгyзники 50 шт BRAND2 Sleep&amp;Play з рoмашкoю (4) Maxi м/yп"/>
    <n v="22747"/>
    <n v="4770421"/>
    <x v="0"/>
  </r>
  <r>
    <s v="Client2"/>
    <d v="2022-03-01T00:00:00"/>
    <s v="Online"/>
    <n v="110063"/>
    <s v="Підгyзники 50 шт BRAND2 Sleep&amp;Play з рoмашкoю (4) Maxi м/yп"/>
    <n v="4523"/>
    <n v="945307"/>
    <x v="0"/>
  </r>
  <r>
    <s v="Client2"/>
    <d v="2021-10-01T00:00:00"/>
    <s v="Online"/>
    <n v="110063"/>
    <s v="Підгyзники 50 шт BRAND2 Sleep&amp;Play з рoмашкoю (4) Maxi м/yп"/>
    <n v="14071"/>
    <n v="2949686"/>
    <x v="0"/>
  </r>
  <r>
    <s v="Client2"/>
    <d v="2021-11-01T00:00:00"/>
    <s v="Online"/>
    <n v="110063"/>
    <s v="Підгyзники 50 шт BRAND2 Sleep&amp;Play з рoмашкoю (4) Maxi м/yп"/>
    <n v="12736"/>
    <n v="2630479"/>
    <x v="0"/>
  </r>
  <r>
    <s v="Client2"/>
    <d v="2021-12-01T00:00:00"/>
    <s v="Online"/>
    <n v="110063"/>
    <s v="Підгyзники 50 шт BRAND2 Sleep&amp;Play з рoмашкoю (4) Maxi м/yп"/>
    <n v="12910"/>
    <n v="2707366"/>
    <x v="0"/>
  </r>
  <r>
    <s v="Client1"/>
    <d v="2022-05-01T00:00:00"/>
    <s v="Online"/>
    <n v="110063"/>
    <s v="Підгyзники 50 шт BRAND2 Sleep&amp;Play з рoмашкoю (4) Maxi м/yп"/>
    <n v="160"/>
    <n v="51265"/>
    <x v="0"/>
  </r>
  <r>
    <s v="Client1"/>
    <d v="2022-06-01T00:00:00"/>
    <s v="Online"/>
    <n v="110063"/>
    <s v="Підгyзники 50 шт BRAND2 Sleep&amp;Play з рoмашкoю (4) Maxi м/yп"/>
    <n v="145"/>
    <n v="42874"/>
    <x v="0"/>
  </r>
  <r>
    <s v="Client1"/>
    <d v="2022-07-01T00:00:00"/>
    <s v="Online"/>
    <n v="110063"/>
    <s v="Підгyзники 50 шт BRAND2 Sleep&amp;Play з рoмашкoю (4) Maxi м/yп"/>
    <n v="160"/>
    <n v="47309"/>
    <x v="0"/>
  </r>
  <r>
    <s v="Client1"/>
    <d v="2022-08-01T00:00:00"/>
    <s v="Offline"/>
    <n v="110063"/>
    <s v="Підгyзники 50 шт BRAND2 Sleep&amp;Play з рoмашкoю (4) Maxi м/yп"/>
    <n v="367"/>
    <n v="108516"/>
    <x v="0"/>
  </r>
  <r>
    <s v="Client1"/>
    <d v="2022-09-01T00:00:00"/>
    <s v="Offline"/>
    <n v="110063"/>
    <s v="Підгyзники 50 шт BRAND2 Sleep&amp;Play з рoмашкoю (4) Maxi м/yп"/>
    <n v="1388"/>
    <n v="409957"/>
    <x v="0"/>
  </r>
  <r>
    <s v="Client1"/>
    <d v="2022-04-01T00:00:00"/>
    <s v="Offline"/>
    <n v="110013"/>
    <s v="Вологi сepвeтки дитячi BRAND3 Baby 100 шт, м/уп"/>
    <n v="39298"/>
    <n v="2275179"/>
    <x v="1"/>
  </r>
  <r>
    <s v="Client1"/>
    <d v="2022-05-01T00:00:00"/>
    <s v="Offline"/>
    <n v="110013"/>
    <s v="Вологi сepвeтки дитячi BRAND3 Baby 100 шт, м/уп"/>
    <n v="58112"/>
    <n v="3167280"/>
    <x v="1"/>
  </r>
  <r>
    <s v="Client1"/>
    <d v="2022-06-01T00:00:00"/>
    <s v="Offline"/>
    <n v="110013"/>
    <s v="Вологi сepвeтки дитячi BRAND3 Baby 100 шт, м/уп"/>
    <n v="43470"/>
    <n v="2460480"/>
    <x v="1"/>
  </r>
  <r>
    <s v="Client2"/>
    <d v="2022-07-01T00:00:00"/>
    <s v="Offline"/>
    <n v="110013"/>
    <s v="Вологi сepвeтки дитячi BRAND3 Baby 100 шт, м/уп"/>
    <n v="59732"/>
    <n v="3031865"/>
    <x v="1"/>
  </r>
  <r>
    <s v="Client2"/>
    <d v="2022-08-01T00:00:00"/>
    <s v="Offline"/>
    <n v="110013"/>
    <s v="Вологi сepвeтки дитячi BRAND3 Baby 100 шт, м/уп"/>
    <n v="33656"/>
    <n v="2121519"/>
    <x v="1"/>
  </r>
  <r>
    <s v="Client2"/>
    <d v="2022-09-01T00:00:00"/>
    <s v="Offline"/>
    <n v="110013"/>
    <s v="Вологi сepвeтки дитячi BRAND3 Baby 100 шт, м/уп"/>
    <n v="49114"/>
    <n v="3073043"/>
    <x v="1"/>
  </r>
  <r>
    <s v="Client1"/>
    <d v="2020-11-01T00:00:00"/>
    <s v="Offline"/>
    <n v="152673"/>
    <s v="Підгyзники дитячі гігієнічні 40 шт BRAND1 Classic (5) м/yп"/>
    <n v="16683"/>
    <n v="3236887.32"/>
    <x v="2"/>
  </r>
  <r>
    <s v="Client1"/>
    <d v="2020-12-01T00:00:00"/>
    <s v="Offline"/>
    <n v="152673"/>
    <s v="Підгyзники дитячі гігієнічні 40 шт BRAND1 Classic (5) м/yп"/>
    <n v="26184"/>
    <n v="4687308.13"/>
    <x v="2"/>
  </r>
  <r>
    <s v="Client1"/>
    <d v="2021-01-01T00:00:00"/>
    <s v="Offline"/>
    <n v="152673"/>
    <s v="Пiдгузники дитячi гiгiєнiчнi 40 шт BRAND1 Classic (5) м/уп"/>
    <n v="34720"/>
    <n v="6243865.5"/>
    <x v="2"/>
  </r>
  <r>
    <s v="Client1"/>
    <d v="2021-02-01T00:00:00"/>
    <s v="Offline"/>
    <n v="152673"/>
    <s v="Підгyзники дитячі гігієнічні 40 шт BRAND1 Classic (5) м/yп"/>
    <n v="31517"/>
    <n v="5667734.5999999996"/>
    <x v="2"/>
  </r>
  <r>
    <s v="Client1"/>
    <d v="2021-03-01T00:00:00"/>
    <s v="Offline"/>
    <n v="152673"/>
    <s v="Пiдгyзники дитячi гiгiєнiчнi 40 шт BRAND1 Classic (5) м/yп"/>
    <n v="34858"/>
    <n v="6268371.3799999999"/>
    <x v="2"/>
  </r>
  <r>
    <s v="Client1"/>
    <d v="2021-04-01T00:00:00"/>
    <s v="Offline"/>
    <n v="152673"/>
    <s v="Пiдгyзники дитячi гiгiєнiчнi 40 шт BRAND1 Classic (5) м/yп"/>
    <n v="39500"/>
    <n v="7121126.2800000003"/>
    <x v="2"/>
  </r>
  <r>
    <s v="Client3"/>
    <d v="2021-05-01T00:00:00"/>
    <s v="Offline"/>
    <n v="152673"/>
    <s v="Підгyзники дитячі гігієнічні 40 шт BRAND1 Classic (5) м/yп"/>
    <n v="38534"/>
    <n v="7113849.3899999997"/>
    <x v="2"/>
  </r>
  <r>
    <s v="Client3"/>
    <d v="2021-06-01T00:00:00"/>
    <s v="Offline"/>
    <n v="152673"/>
    <s v="Підгyзники дитячі гігієнічні 40 шт BRAND1 Classic (5) м/yп"/>
    <n v="34790"/>
    <n v="6421566.9900000002"/>
    <x v="2"/>
  </r>
  <r>
    <s v="Client3"/>
    <d v="2021-07-01T00:00:00"/>
    <s v="Offline"/>
    <n v="152673"/>
    <s v="Пiдгyзники дитячi гiгiєнiчнi 40 шт BRAND1 Classic (5) м/yп"/>
    <n v="15247"/>
    <n v="3237429.528042628"/>
    <x v="2"/>
  </r>
  <r>
    <s v="Client3"/>
    <d v="2021-07-01T00:00:00"/>
    <s v="Online"/>
    <n v="152673"/>
    <s v="Підгузники дитячі гігієнічні 40 шт BRAND1 Classic (5) м/уп"/>
    <n v="95"/>
    <n v="20171.56195737192"/>
    <x v="2"/>
  </r>
  <r>
    <s v="Client1"/>
    <d v="2021-08-01T00:00:00"/>
    <s v="Offline"/>
    <n v="152673"/>
    <s v="Пiдгyзники дитячi гiгiєнiчнi 40 шт BRAND1 Classic (5) м/yп"/>
    <n v="21313"/>
    <n v="4004204.4070522962"/>
    <x v="2"/>
  </r>
  <r>
    <s v="Client1"/>
    <d v="2021-08-01T00:00:00"/>
    <s v="Online"/>
    <n v="152673"/>
    <s v="Підгузники дитячі гігієнічні 40 шт BRAND1 Classic (5) м/уп"/>
    <n v="46"/>
    <n v="8642.3029477035434"/>
    <x v="2"/>
  </r>
  <r>
    <s v="Client1"/>
    <d v="2021-09-01T00:00:00"/>
    <s v="Offline"/>
    <n v="152672"/>
    <s v="Підгyзники дитячі гігієнічні 40 шт BRAND1 Classic (5) м/yп"/>
    <n v="27513"/>
    <n v="5066749.039505546"/>
    <x v="2"/>
  </r>
  <r>
    <s v="Client1"/>
    <d v="2021-09-01T00:00:00"/>
    <s v="Online"/>
    <n v="152672"/>
    <s v="Підгузники дитячі гігієнічні 40 шт BRAND1 Classic (5) м/уп"/>
    <n v="73"/>
    <n v="13443.560494453708"/>
    <x v="2"/>
  </r>
  <r>
    <s v="Client1"/>
    <d v="2022-04-01T00:00:00"/>
    <s v="Offline"/>
    <n v="152672"/>
    <s v="Пiдгyзники дитячi гiгiєнiчнi 40 шт BRAND1 Classic (5) м/yп"/>
    <n v="8594"/>
    <n v="1913590"/>
    <x v="2"/>
  </r>
  <r>
    <s v="Client1"/>
    <d v="2022-01-01T00:00:00"/>
    <s v="Offline"/>
    <n v="152672"/>
    <s v="Пiдгyзники дитячi гiгiєнiчнi 40 шт BRAND1 Classic (5) м/yп"/>
    <n v="37095"/>
    <n v="6998221"/>
    <x v="2"/>
  </r>
  <r>
    <s v="Client1"/>
    <d v="2022-02-01T00:00:00"/>
    <s v="Offline"/>
    <n v="152672"/>
    <s v="Пiдгyзники дитячi гiгiєнiчнi 40 шт BRAND1 Classic (5) м/yп"/>
    <n v="33079"/>
    <n v="7005381"/>
    <x v="2"/>
  </r>
  <r>
    <s v="Client1"/>
    <d v="2022-03-01T00:00:00"/>
    <s v="Offline"/>
    <n v="152672"/>
    <s v="Пiдгyзники дитячi гiгiєнiчнi 40 шт BRAND1 Classic (5) м/yп"/>
    <n v="5138"/>
    <n v="1219215"/>
    <x v="2"/>
  </r>
  <r>
    <s v="Client1"/>
    <d v="2021-10-01T00:00:00"/>
    <s v="Offline"/>
    <n v="152672"/>
    <s v="Пiдгyзники дитячi гiгiєнiчнi 40 шт BRAND1 Classic (5) м/yп"/>
    <n v="29233"/>
    <n v="5437749"/>
    <x v="2"/>
  </r>
  <r>
    <s v="Client1"/>
    <d v="2021-11-01T00:00:00"/>
    <s v="Offline"/>
    <n v="152672"/>
    <s v="Пiдгyзники дитячi гiгiєнiчнi 40 шт BRAND1 Classic (5) м/yп"/>
    <n v="29095"/>
    <n v="5471008"/>
    <x v="2"/>
  </r>
  <r>
    <s v="Client1"/>
    <d v="2021-12-01T00:00:00"/>
    <s v="Offline"/>
    <n v="152672"/>
    <s v="Пiдгyзники дитячi гiгiєнiчнi 40 шт BRAND1 Classic (5) м/yп"/>
    <n v="36249"/>
    <n v="6824789"/>
    <x v="2"/>
  </r>
  <r>
    <s v="Client1"/>
    <d v="2022-05-01T00:00:00"/>
    <s v="Offline"/>
    <n v="152672"/>
    <s v="Пiдгyзники дитячi гiгiєнiчнi 40 шт BRAND1 Classic (5) м/yп"/>
    <n v="8954"/>
    <n v="2141320"/>
    <x v="2"/>
  </r>
  <r>
    <s v="Client1"/>
    <d v="2022-06-01T00:00:00"/>
    <s v="Offline"/>
    <n v="152672"/>
    <s v="Пiдгyзники дитячi гiгiєнiчнi 40 шт BRAND1 Classic (5) м/yп"/>
    <n v="6263"/>
    <n v="1447770"/>
    <x v="2"/>
  </r>
  <r>
    <s v="Client1"/>
    <d v="2022-07-01T00:00:00"/>
    <s v="Offline"/>
    <n v="152673"/>
    <s v="Пiдгyзники дитячi гiгiєнiчнi 40 шт BRAND1 Classic (5) м/yп"/>
    <n v="6206"/>
    <n v="1370907"/>
    <x v="2"/>
  </r>
  <r>
    <s v="Client3"/>
    <d v="2022-08-01T00:00:00"/>
    <s v="Offline"/>
    <n v="152673"/>
    <s v="Пiдгyзники дитячi гiгiєнiчнi 40 шт BRAND1 Classic (5) м/yп"/>
    <n v="7556"/>
    <n v="1675645"/>
    <x v="2"/>
  </r>
  <r>
    <s v="Client1"/>
    <d v="2022-09-01T00:00:00"/>
    <s v="Offline"/>
    <n v="152670"/>
    <s v="Пiдгyзники дитячi гiгiєнiчнi 40 шт BRAND1 Classic (5) м/yп"/>
    <n v="7767"/>
    <n v="174182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03F82-A86E-4C2A-9FA9-966FC059AE1E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7" firstHeaderRow="1" firstDataRow="1" firstDataCol="1"/>
  <pivotFields count="8">
    <pivotField showAll="0"/>
    <pivotField numFmtId="14" showAll="0"/>
    <pivotField showAll="0"/>
    <pivotField showAll="0"/>
    <pivotField showAll="0"/>
    <pivotField numFmtId="164" showAll="0"/>
    <pivotField dataField="1" numFmtId="43" showAll="0"/>
    <pivotField axis="axisRow" showAll="0">
      <items count="4">
        <item x="2"/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Sales, UAH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D3AA4-4B16-483A-A935-859A85AB15E7}" name="Таблица1" displayName="Таблица1" ref="A1:H45" totalsRowShown="0" headerRowDxfId="8" headerRowCellStyle="Финансовый">
  <autoFilter ref="A1:H45" xr:uid="{665E949B-1DBA-4F20-9818-C96D86E9C9FE}"/>
  <tableColumns count="8">
    <tableColumn id="1" xr3:uid="{43CB3526-2234-47D6-A04E-CDE5E7759DA5}" name="Client" dataDxfId="7"/>
    <tableColumn id="2" xr3:uid="{80D76ED8-873B-45BE-852B-E2BD38EBC89F}" name="Date" dataDxfId="6"/>
    <tableColumn id="3" xr3:uid="{FC4FB172-8928-4165-865C-CB66B59A4D93}" name="Online" dataDxfId="5"/>
    <tableColumn id="4" xr3:uid="{298ABB0A-6269-4DCF-9769-B176D00B7B53}" name="Material" dataDxfId="4"/>
    <tableColumn id="5" xr3:uid="{F591DB21-6A82-47F7-9F0C-9602D20C60B1}" name="Description" dataDxfId="3"/>
    <tableColumn id="6" xr3:uid="{FB337DD9-97CE-4B7F-83DD-3DEA63AFAB25}" name="Sales, PC" dataDxfId="2" dataCellStyle="Финансовый"/>
    <tableColumn id="7" xr3:uid="{057EA440-FA44-4EDE-952F-4365228AF0DC}" name="Sales, UAH" dataDxfId="1" dataCellStyle="Финансовый"/>
    <tableColumn id="8" xr3:uid="{28498EF3-825C-4BAD-BC7D-B4945EAC40B7}" name="бренд" dataDxfId="0" dataCellStyle="Финансовый">
      <calculatedColumnFormula>IFERROR(MID(E2,SEARCH("BRAND",E2),6),"")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87D4-B2AE-4DF2-8500-FF8395DB8594}">
  <dimension ref="A3:B7"/>
  <sheetViews>
    <sheetView workbookViewId="0">
      <selection activeCell="B8" sqref="B8"/>
    </sheetView>
  </sheetViews>
  <sheetFormatPr defaultRowHeight="14.4" x14ac:dyDescent="0.3"/>
  <cols>
    <col min="1" max="1" width="17" bestFit="1" customWidth="1"/>
    <col min="2" max="2" width="24.6640625" style="19" bestFit="1" customWidth="1"/>
  </cols>
  <sheetData>
    <row r="3" spans="1:2" x14ac:dyDescent="0.3">
      <c r="A3" s="17" t="s">
        <v>27</v>
      </c>
      <c r="B3" s="19" t="s">
        <v>29</v>
      </c>
    </row>
    <row r="4" spans="1:2" x14ac:dyDescent="0.3">
      <c r="A4" s="18" t="s">
        <v>31</v>
      </c>
      <c r="B4" s="19">
        <v>102358765.98999999</v>
      </c>
    </row>
    <row r="5" spans="1:2" x14ac:dyDescent="0.3">
      <c r="A5" s="18" t="s">
        <v>32</v>
      </c>
      <c r="B5" s="19">
        <v>17677986</v>
      </c>
    </row>
    <row r="6" spans="1:2" x14ac:dyDescent="0.3">
      <c r="A6" s="18" t="s">
        <v>33</v>
      </c>
      <c r="B6" s="19">
        <v>16129366</v>
      </c>
    </row>
    <row r="7" spans="1:2" x14ac:dyDescent="0.3">
      <c r="A7" s="18" t="s">
        <v>28</v>
      </c>
      <c r="B7" s="19">
        <v>136166117.99000001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A399-825D-45C7-91DF-DA66729ECEE7}">
  <dimension ref="A1:H45"/>
  <sheetViews>
    <sheetView tabSelected="1" workbookViewId="0">
      <selection activeCell="G1" sqref="G1:G1048576"/>
    </sheetView>
  </sheetViews>
  <sheetFormatPr defaultColWidth="4.109375" defaultRowHeight="10.199999999999999" x14ac:dyDescent="0.2"/>
  <cols>
    <col min="1" max="1" width="6.44140625" style="1" customWidth="1"/>
    <col min="2" max="2" width="7.6640625" style="1" bestFit="1" customWidth="1"/>
    <col min="3" max="3" width="6.88671875" style="1" customWidth="1"/>
    <col min="4" max="4" width="8" style="1" customWidth="1"/>
    <col min="5" max="5" width="42.21875" style="1" bestFit="1" customWidth="1"/>
    <col min="6" max="6" width="9" style="10" customWidth="1"/>
    <col min="7" max="7" width="11.21875" style="8" bestFit="1" customWidth="1"/>
    <col min="8" max="8" width="6.88671875" style="1" customWidth="1"/>
    <col min="9" max="9" width="4.109375" style="1"/>
    <col min="10" max="10" width="8.44140625" style="1" customWidth="1"/>
    <col min="11" max="16384" width="4.109375" style="1"/>
  </cols>
  <sheetData>
    <row r="1" spans="1:8" x14ac:dyDescent="0.2">
      <c r="A1" s="11" t="s">
        <v>0</v>
      </c>
      <c r="B1" s="11" t="s">
        <v>3</v>
      </c>
      <c r="C1" s="11" t="s">
        <v>4</v>
      </c>
      <c r="D1" s="11" t="s">
        <v>1</v>
      </c>
      <c r="E1" s="11" t="s">
        <v>2</v>
      </c>
      <c r="F1" s="12" t="s">
        <v>19</v>
      </c>
      <c r="G1" s="13" t="s">
        <v>18</v>
      </c>
      <c r="H1" s="1" t="s">
        <v>30</v>
      </c>
    </row>
    <row r="2" spans="1:8" x14ac:dyDescent="0.2">
      <c r="A2" s="3" t="s">
        <v>6</v>
      </c>
      <c r="B2" s="4">
        <v>44652</v>
      </c>
      <c r="C2" s="3" t="s">
        <v>5</v>
      </c>
      <c r="D2" s="5">
        <v>110063</v>
      </c>
      <c r="E2" s="2" t="s">
        <v>11</v>
      </c>
      <c r="F2" s="9">
        <v>460</v>
      </c>
      <c r="G2" s="7">
        <v>102318</v>
      </c>
      <c r="H2" s="8" t="str">
        <f>IFERROR(MID(E2,SEARCH("BRAND",E2),6),"")</f>
        <v>BRAND2</v>
      </c>
    </row>
    <row r="3" spans="1:8" x14ac:dyDescent="0.2">
      <c r="A3" s="3" t="s">
        <v>6</v>
      </c>
      <c r="B3" s="4">
        <v>44562</v>
      </c>
      <c r="C3" s="3" t="s">
        <v>4</v>
      </c>
      <c r="D3" s="5">
        <v>110063</v>
      </c>
      <c r="E3" s="2" t="s">
        <v>11</v>
      </c>
      <c r="F3" s="9">
        <v>13910</v>
      </c>
      <c r="G3" s="7">
        <v>2912488</v>
      </c>
      <c r="H3" s="8" t="str">
        <f t="shared" ref="H3:H45" si="0">IFERROR(MID(E3,SEARCH("BRAND",E3),6),"")</f>
        <v>BRAND2</v>
      </c>
    </row>
    <row r="4" spans="1:8" x14ac:dyDescent="0.2">
      <c r="A4" s="3" t="s">
        <v>6</v>
      </c>
      <c r="B4" s="4">
        <v>44593</v>
      </c>
      <c r="C4" s="3" t="s">
        <v>4</v>
      </c>
      <c r="D4" s="5">
        <v>110063</v>
      </c>
      <c r="E4" s="2" t="s">
        <v>11</v>
      </c>
      <c r="F4" s="9">
        <v>22747</v>
      </c>
      <c r="G4" s="7">
        <v>4770421</v>
      </c>
      <c r="H4" s="8" t="str">
        <f t="shared" si="0"/>
        <v>BRAND2</v>
      </c>
    </row>
    <row r="5" spans="1:8" x14ac:dyDescent="0.2">
      <c r="A5" s="3" t="s">
        <v>13</v>
      </c>
      <c r="B5" s="4">
        <v>44621</v>
      </c>
      <c r="C5" s="3" t="s">
        <v>4</v>
      </c>
      <c r="D5" s="5">
        <v>110063</v>
      </c>
      <c r="E5" s="2" t="s">
        <v>11</v>
      </c>
      <c r="F5" s="9">
        <v>4523</v>
      </c>
      <c r="G5" s="7">
        <v>945307</v>
      </c>
      <c r="H5" s="8" t="str">
        <f t="shared" si="0"/>
        <v>BRAND2</v>
      </c>
    </row>
    <row r="6" spans="1:8" x14ac:dyDescent="0.2">
      <c r="A6" s="3" t="s">
        <v>13</v>
      </c>
      <c r="B6" s="6">
        <v>44470</v>
      </c>
      <c r="C6" s="3" t="s">
        <v>4</v>
      </c>
      <c r="D6" s="5">
        <v>110063</v>
      </c>
      <c r="E6" s="3" t="s">
        <v>11</v>
      </c>
      <c r="F6" s="9">
        <v>14071</v>
      </c>
      <c r="G6" s="7">
        <v>2949686</v>
      </c>
      <c r="H6" s="8" t="str">
        <f t="shared" si="0"/>
        <v>BRAND2</v>
      </c>
    </row>
    <row r="7" spans="1:8" x14ac:dyDescent="0.2">
      <c r="A7" s="3" t="s">
        <v>13</v>
      </c>
      <c r="B7" s="6">
        <v>44501</v>
      </c>
      <c r="C7" s="3" t="s">
        <v>4</v>
      </c>
      <c r="D7" s="5">
        <v>110063</v>
      </c>
      <c r="E7" s="3" t="s">
        <v>11</v>
      </c>
      <c r="F7" s="9">
        <v>12736</v>
      </c>
      <c r="G7" s="7">
        <v>2630479</v>
      </c>
      <c r="H7" s="8" t="str">
        <f t="shared" si="0"/>
        <v>BRAND2</v>
      </c>
    </row>
    <row r="8" spans="1:8" x14ac:dyDescent="0.2">
      <c r="A8" s="3" t="s">
        <v>13</v>
      </c>
      <c r="B8" s="6">
        <v>44531</v>
      </c>
      <c r="C8" s="3" t="s">
        <v>4</v>
      </c>
      <c r="D8" s="5">
        <v>110063</v>
      </c>
      <c r="E8" s="3" t="s">
        <v>11</v>
      </c>
      <c r="F8" s="9">
        <v>12910</v>
      </c>
      <c r="G8" s="7">
        <v>2707366</v>
      </c>
      <c r="H8" s="8" t="str">
        <f t="shared" si="0"/>
        <v>BRAND2</v>
      </c>
    </row>
    <row r="9" spans="1:8" x14ac:dyDescent="0.2">
      <c r="A9" s="3" t="s">
        <v>6</v>
      </c>
      <c r="B9" s="6">
        <v>44682</v>
      </c>
      <c r="C9" s="3" t="s">
        <v>4</v>
      </c>
      <c r="D9" s="5">
        <v>110063</v>
      </c>
      <c r="E9" s="3" t="s">
        <v>11</v>
      </c>
      <c r="F9" s="9">
        <v>160</v>
      </c>
      <c r="G9" s="7">
        <v>51265</v>
      </c>
      <c r="H9" s="8" t="str">
        <f t="shared" si="0"/>
        <v>BRAND2</v>
      </c>
    </row>
    <row r="10" spans="1:8" x14ac:dyDescent="0.2">
      <c r="A10" s="3" t="s">
        <v>6</v>
      </c>
      <c r="B10" s="6">
        <v>44713</v>
      </c>
      <c r="C10" s="3" t="s">
        <v>4</v>
      </c>
      <c r="D10" s="5">
        <v>110063</v>
      </c>
      <c r="E10" s="3" t="s">
        <v>11</v>
      </c>
      <c r="F10" s="9">
        <v>145</v>
      </c>
      <c r="G10" s="7">
        <v>42874</v>
      </c>
      <c r="H10" s="8" t="str">
        <f t="shared" si="0"/>
        <v>BRAND2</v>
      </c>
    </row>
    <row r="11" spans="1:8" x14ac:dyDescent="0.2">
      <c r="A11" s="3" t="s">
        <v>6</v>
      </c>
      <c r="B11" s="6">
        <v>44743</v>
      </c>
      <c r="C11" s="3" t="s">
        <v>4</v>
      </c>
      <c r="D11" s="5">
        <v>110063</v>
      </c>
      <c r="E11" s="2" t="s">
        <v>11</v>
      </c>
      <c r="F11" s="9">
        <v>160</v>
      </c>
      <c r="G11" s="7">
        <v>47309</v>
      </c>
      <c r="H11" s="8" t="str">
        <f t="shared" si="0"/>
        <v>BRAND2</v>
      </c>
    </row>
    <row r="12" spans="1:8" x14ac:dyDescent="0.2">
      <c r="A12" s="3" t="s">
        <v>6</v>
      </c>
      <c r="B12" s="6">
        <v>44774</v>
      </c>
      <c r="C12" s="3" t="s">
        <v>5</v>
      </c>
      <c r="D12" s="5">
        <v>110063</v>
      </c>
      <c r="E12" s="3" t="s">
        <v>11</v>
      </c>
      <c r="F12" s="9">
        <v>367</v>
      </c>
      <c r="G12" s="7">
        <v>108516</v>
      </c>
      <c r="H12" s="8" t="str">
        <f t="shared" si="0"/>
        <v>BRAND2</v>
      </c>
    </row>
    <row r="13" spans="1:8" x14ac:dyDescent="0.2">
      <c r="A13" s="3" t="s">
        <v>6</v>
      </c>
      <c r="B13" s="6">
        <v>44805</v>
      </c>
      <c r="C13" s="3" t="s">
        <v>5</v>
      </c>
      <c r="D13" s="5">
        <v>110063</v>
      </c>
      <c r="E13" s="3" t="s">
        <v>11</v>
      </c>
      <c r="F13" s="9">
        <v>1388</v>
      </c>
      <c r="G13" s="7">
        <v>409957</v>
      </c>
      <c r="H13" s="8" t="str">
        <f t="shared" si="0"/>
        <v>BRAND2</v>
      </c>
    </row>
    <row r="14" spans="1:8" x14ac:dyDescent="0.2">
      <c r="A14" s="3" t="s">
        <v>6</v>
      </c>
      <c r="B14" s="4">
        <v>44652</v>
      </c>
      <c r="C14" s="3" t="s">
        <v>5</v>
      </c>
      <c r="D14" s="5">
        <v>110013</v>
      </c>
      <c r="E14" s="2" t="s">
        <v>12</v>
      </c>
      <c r="F14" s="9">
        <v>39298</v>
      </c>
      <c r="G14" s="7">
        <v>2275179</v>
      </c>
      <c r="H14" s="8" t="str">
        <f t="shared" si="0"/>
        <v>BRAND3</v>
      </c>
    </row>
    <row r="15" spans="1:8" x14ac:dyDescent="0.2">
      <c r="A15" s="3" t="s">
        <v>6</v>
      </c>
      <c r="B15" s="6">
        <v>44682</v>
      </c>
      <c r="C15" s="3" t="s">
        <v>5</v>
      </c>
      <c r="D15" s="5">
        <v>110013</v>
      </c>
      <c r="E15" s="3" t="s">
        <v>12</v>
      </c>
      <c r="F15" s="9">
        <v>58112</v>
      </c>
      <c r="G15" s="7">
        <v>3167280</v>
      </c>
      <c r="H15" s="8" t="str">
        <f t="shared" si="0"/>
        <v>BRAND3</v>
      </c>
    </row>
    <row r="16" spans="1:8" x14ac:dyDescent="0.2">
      <c r="A16" s="3" t="s">
        <v>6</v>
      </c>
      <c r="B16" s="6">
        <v>44713</v>
      </c>
      <c r="C16" s="3" t="s">
        <v>5</v>
      </c>
      <c r="D16" s="5">
        <v>110013</v>
      </c>
      <c r="E16" s="3" t="s">
        <v>12</v>
      </c>
      <c r="F16" s="9">
        <v>43470</v>
      </c>
      <c r="G16" s="7">
        <v>2460480</v>
      </c>
      <c r="H16" s="8" t="str">
        <f t="shared" si="0"/>
        <v>BRAND3</v>
      </c>
    </row>
    <row r="17" spans="1:8" x14ac:dyDescent="0.2">
      <c r="A17" s="3" t="s">
        <v>13</v>
      </c>
      <c r="B17" s="6">
        <v>44743</v>
      </c>
      <c r="C17" s="3" t="s">
        <v>5</v>
      </c>
      <c r="D17" s="5">
        <v>110013</v>
      </c>
      <c r="E17" s="2" t="s">
        <v>12</v>
      </c>
      <c r="F17" s="9">
        <v>59732</v>
      </c>
      <c r="G17" s="7">
        <v>3031865</v>
      </c>
      <c r="H17" s="8" t="str">
        <f t="shared" si="0"/>
        <v>BRAND3</v>
      </c>
    </row>
    <row r="18" spans="1:8" x14ac:dyDescent="0.2">
      <c r="A18" s="3" t="s">
        <v>13</v>
      </c>
      <c r="B18" s="6">
        <v>44774</v>
      </c>
      <c r="C18" s="3" t="s">
        <v>5</v>
      </c>
      <c r="D18" s="5">
        <v>110013</v>
      </c>
      <c r="E18" s="3" t="s">
        <v>12</v>
      </c>
      <c r="F18" s="9">
        <v>33656</v>
      </c>
      <c r="G18" s="7">
        <v>2121519</v>
      </c>
      <c r="H18" s="8" t="str">
        <f t="shared" si="0"/>
        <v>BRAND3</v>
      </c>
    </row>
    <row r="19" spans="1:8" x14ac:dyDescent="0.2">
      <c r="A19" s="3" t="s">
        <v>13</v>
      </c>
      <c r="B19" s="6">
        <v>44805</v>
      </c>
      <c r="C19" s="3" t="s">
        <v>5</v>
      </c>
      <c r="D19" s="5">
        <v>110013</v>
      </c>
      <c r="E19" s="3" t="s">
        <v>12</v>
      </c>
      <c r="F19" s="9">
        <v>49114</v>
      </c>
      <c r="G19" s="7">
        <v>3073043</v>
      </c>
      <c r="H19" s="8" t="str">
        <f t="shared" si="0"/>
        <v>BRAND3</v>
      </c>
    </row>
    <row r="20" spans="1:8" x14ac:dyDescent="0.2">
      <c r="A20" s="3" t="s">
        <v>6</v>
      </c>
      <c r="B20" s="6">
        <v>44136</v>
      </c>
      <c r="C20" s="3" t="s">
        <v>5</v>
      </c>
      <c r="D20" s="5">
        <v>152673</v>
      </c>
      <c r="E20" s="3" t="s">
        <v>7</v>
      </c>
      <c r="F20" s="9">
        <v>16683</v>
      </c>
      <c r="G20" s="7">
        <v>3236887.32</v>
      </c>
      <c r="H20" s="8" t="str">
        <f t="shared" si="0"/>
        <v>BRAND1</v>
      </c>
    </row>
    <row r="21" spans="1:8" x14ac:dyDescent="0.2">
      <c r="A21" s="3" t="s">
        <v>6</v>
      </c>
      <c r="B21" s="6">
        <v>44166</v>
      </c>
      <c r="C21" s="3" t="s">
        <v>5</v>
      </c>
      <c r="D21" s="5">
        <v>152673</v>
      </c>
      <c r="E21" s="3" t="s">
        <v>7</v>
      </c>
      <c r="F21" s="9">
        <v>26184</v>
      </c>
      <c r="G21" s="7">
        <v>4687308.13</v>
      </c>
      <c r="H21" s="8" t="str">
        <f t="shared" si="0"/>
        <v>BRAND1</v>
      </c>
    </row>
    <row r="22" spans="1:8" x14ac:dyDescent="0.2">
      <c r="A22" s="3" t="s">
        <v>6</v>
      </c>
      <c r="B22" s="6">
        <v>44197</v>
      </c>
      <c r="C22" s="3" t="s">
        <v>5</v>
      </c>
      <c r="D22" s="5">
        <v>152673</v>
      </c>
      <c r="E22" s="3" t="s">
        <v>8</v>
      </c>
      <c r="F22" s="9">
        <v>34720</v>
      </c>
      <c r="G22" s="7">
        <v>6243865.5</v>
      </c>
      <c r="H22" s="8" t="str">
        <f t="shared" si="0"/>
        <v>BRAND1</v>
      </c>
    </row>
    <row r="23" spans="1:8" x14ac:dyDescent="0.2">
      <c r="A23" s="3" t="s">
        <v>6</v>
      </c>
      <c r="B23" s="6">
        <v>44228</v>
      </c>
      <c r="C23" s="3" t="s">
        <v>5</v>
      </c>
      <c r="D23" s="5">
        <v>152673</v>
      </c>
      <c r="E23" s="3" t="s">
        <v>7</v>
      </c>
      <c r="F23" s="9">
        <v>31517</v>
      </c>
      <c r="G23" s="7">
        <v>5667734.5999999996</v>
      </c>
      <c r="H23" s="8" t="str">
        <f t="shared" si="0"/>
        <v>BRAND1</v>
      </c>
    </row>
    <row r="24" spans="1:8" x14ac:dyDescent="0.2">
      <c r="A24" s="3" t="s">
        <v>6</v>
      </c>
      <c r="B24" s="6">
        <v>44256</v>
      </c>
      <c r="C24" s="3" t="s">
        <v>5</v>
      </c>
      <c r="D24" s="5">
        <v>152673</v>
      </c>
      <c r="E24" s="3" t="s">
        <v>9</v>
      </c>
      <c r="F24" s="9">
        <v>34858</v>
      </c>
      <c r="G24" s="7">
        <v>6268371.3799999999</v>
      </c>
      <c r="H24" s="8" t="str">
        <f t="shared" si="0"/>
        <v>BRAND1</v>
      </c>
    </row>
    <row r="25" spans="1:8" x14ac:dyDescent="0.2">
      <c r="A25" s="3" t="s">
        <v>6</v>
      </c>
      <c r="B25" s="6">
        <v>44287</v>
      </c>
      <c r="C25" s="3" t="s">
        <v>5</v>
      </c>
      <c r="D25" s="5">
        <v>152673</v>
      </c>
      <c r="E25" s="3" t="s">
        <v>9</v>
      </c>
      <c r="F25" s="9">
        <v>39500</v>
      </c>
      <c r="G25" s="7">
        <v>7121126.2800000003</v>
      </c>
      <c r="H25" s="8" t="str">
        <f t="shared" si="0"/>
        <v>BRAND1</v>
      </c>
    </row>
    <row r="26" spans="1:8" x14ac:dyDescent="0.2">
      <c r="A26" s="3" t="s">
        <v>14</v>
      </c>
      <c r="B26" s="6">
        <v>44317</v>
      </c>
      <c r="C26" s="3" t="s">
        <v>5</v>
      </c>
      <c r="D26" s="5">
        <v>152673</v>
      </c>
      <c r="E26" s="3" t="s">
        <v>7</v>
      </c>
      <c r="F26" s="9">
        <v>38534</v>
      </c>
      <c r="G26" s="7">
        <v>7113849.3899999997</v>
      </c>
      <c r="H26" s="8" t="str">
        <f t="shared" si="0"/>
        <v>BRAND1</v>
      </c>
    </row>
    <row r="27" spans="1:8" x14ac:dyDescent="0.2">
      <c r="A27" s="3" t="s">
        <v>14</v>
      </c>
      <c r="B27" s="6">
        <v>44348</v>
      </c>
      <c r="C27" s="3" t="s">
        <v>5</v>
      </c>
      <c r="D27" s="5">
        <v>152673</v>
      </c>
      <c r="E27" s="3" t="s">
        <v>7</v>
      </c>
      <c r="F27" s="9">
        <v>34790</v>
      </c>
      <c r="G27" s="7">
        <v>6421566.9900000002</v>
      </c>
      <c r="H27" s="8" t="str">
        <f t="shared" si="0"/>
        <v>BRAND1</v>
      </c>
    </row>
    <row r="28" spans="1:8" x14ac:dyDescent="0.2">
      <c r="A28" s="3" t="s">
        <v>14</v>
      </c>
      <c r="B28" s="6">
        <v>44378</v>
      </c>
      <c r="C28" s="3" t="s">
        <v>5</v>
      </c>
      <c r="D28" s="5">
        <v>152673</v>
      </c>
      <c r="E28" s="3" t="s">
        <v>9</v>
      </c>
      <c r="F28" s="9">
        <v>15247</v>
      </c>
      <c r="G28" s="7">
        <v>3237429.528042628</v>
      </c>
      <c r="H28" s="8" t="str">
        <f t="shared" si="0"/>
        <v>BRAND1</v>
      </c>
    </row>
    <row r="29" spans="1:8" x14ac:dyDescent="0.2">
      <c r="A29" s="3" t="s">
        <v>14</v>
      </c>
      <c r="B29" s="6">
        <v>44378</v>
      </c>
      <c r="C29" s="3" t="s">
        <v>4</v>
      </c>
      <c r="D29" s="5">
        <v>152673</v>
      </c>
      <c r="E29" s="3" t="s">
        <v>10</v>
      </c>
      <c r="F29" s="9">
        <v>95</v>
      </c>
      <c r="G29" s="7">
        <v>20171.56195737192</v>
      </c>
      <c r="H29" s="8" t="str">
        <f t="shared" si="0"/>
        <v>BRAND1</v>
      </c>
    </row>
    <row r="30" spans="1:8" x14ac:dyDescent="0.2">
      <c r="A30" s="3" t="s">
        <v>6</v>
      </c>
      <c r="B30" s="6">
        <v>44409</v>
      </c>
      <c r="C30" s="3" t="s">
        <v>5</v>
      </c>
      <c r="D30" s="5">
        <v>152673</v>
      </c>
      <c r="E30" s="3" t="s">
        <v>9</v>
      </c>
      <c r="F30" s="9">
        <v>21313</v>
      </c>
      <c r="G30" s="7">
        <v>4004204.4070522962</v>
      </c>
      <c r="H30" s="8" t="str">
        <f t="shared" si="0"/>
        <v>BRAND1</v>
      </c>
    </row>
    <row r="31" spans="1:8" x14ac:dyDescent="0.2">
      <c r="A31" s="3" t="s">
        <v>6</v>
      </c>
      <c r="B31" s="6">
        <v>44409</v>
      </c>
      <c r="C31" s="3" t="s">
        <v>4</v>
      </c>
      <c r="D31" s="5">
        <v>152673</v>
      </c>
      <c r="E31" s="3" t="s">
        <v>10</v>
      </c>
      <c r="F31" s="9">
        <v>46</v>
      </c>
      <c r="G31" s="7">
        <v>8642.3029477035434</v>
      </c>
      <c r="H31" s="8" t="str">
        <f t="shared" si="0"/>
        <v>BRAND1</v>
      </c>
    </row>
    <row r="32" spans="1:8" x14ac:dyDescent="0.2">
      <c r="A32" s="3" t="s">
        <v>6</v>
      </c>
      <c r="B32" s="6">
        <v>44440</v>
      </c>
      <c r="C32" s="3" t="s">
        <v>5</v>
      </c>
      <c r="D32" s="5">
        <v>152672</v>
      </c>
      <c r="E32" s="3" t="s">
        <v>7</v>
      </c>
      <c r="F32" s="9">
        <v>27513</v>
      </c>
      <c r="G32" s="7">
        <v>5066749.039505546</v>
      </c>
      <c r="H32" s="8" t="str">
        <f t="shared" si="0"/>
        <v>BRAND1</v>
      </c>
    </row>
    <row r="33" spans="1:8" x14ac:dyDescent="0.2">
      <c r="A33" s="3" t="s">
        <v>6</v>
      </c>
      <c r="B33" s="6">
        <v>44440</v>
      </c>
      <c r="C33" s="3" t="s">
        <v>4</v>
      </c>
      <c r="D33" s="5">
        <v>152672</v>
      </c>
      <c r="E33" s="3" t="s">
        <v>10</v>
      </c>
      <c r="F33" s="9">
        <v>73</v>
      </c>
      <c r="G33" s="7">
        <v>13443.560494453708</v>
      </c>
      <c r="H33" s="8" t="str">
        <f t="shared" si="0"/>
        <v>BRAND1</v>
      </c>
    </row>
    <row r="34" spans="1:8" x14ac:dyDescent="0.2">
      <c r="A34" s="3" t="s">
        <v>6</v>
      </c>
      <c r="B34" s="4">
        <v>44652</v>
      </c>
      <c r="C34" s="3" t="s">
        <v>5</v>
      </c>
      <c r="D34" s="5">
        <v>152672</v>
      </c>
      <c r="E34" s="2" t="s">
        <v>9</v>
      </c>
      <c r="F34" s="9">
        <v>8594</v>
      </c>
      <c r="G34" s="7">
        <v>1913590</v>
      </c>
      <c r="H34" s="8" t="str">
        <f t="shared" si="0"/>
        <v>BRAND1</v>
      </c>
    </row>
    <row r="35" spans="1:8" x14ac:dyDescent="0.2">
      <c r="A35" s="3" t="s">
        <v>6</v>
      </c>
      <c r="B35" s="4">
        <v>44562</v>
      </c>
      <c r="C35" s="3" t="s">
        <v>5</v>
      </c>
      <c r="D35" s="5">
        <v>152672</v>
      </c>
      <c r="E35" s="2" t="s">
        <v>9</v>
      </c>
      <c r="F35" s="9">
        <v>37095</v>
      </c>
      <c r="G35" s="7">
        <v>6998221</v>
      </c>
      <c r="H35" s="8" t="str">
        <f t="shared" si="0"/>
        <v>BRAND1</v>
      </c>
    </row>
    <row r="36" spans="1:8" x14ac:dyDescent="0.2">
      <c r="A36" s="3" t="s">
        <v>6</v>
      </c>
      <c r="B36" s="4">
        <v>44593</v>
      </c>
      <c r="C36" s="3" t="s">
        <v>5</v>
      </c>
      <c r="D36" s="5">
        <v>152672</v>
      </c>
      <c r="E36" s="2" t="s">
        <v>9</v>
      </c>
      <c r="F36" s="9">
        <v>33079</v>
      </c>
      <c r="G36" s="7">
        <v>7005381</v>
      </c>
      <c r="H36" s="8" t="str">
        <f t="shared" si="0"/>
        <v>BRAND1</v>
      </c>
    </row>
    <row r="37" spans="1:8" x14ac:dyDescent="0.2">
      <c r="A37" s="3" t="s">
        <v>6</v>
      </c>
      <c r="B37" s="4">
        <v>44621</v>
      </c>
      <c r="C37" s="3" t="s">
        <v>5</v>
      </c>
      <c r="D37" s="5">
        <v>152672</v>
      </c>
      <c r="E37" s="2" t="s">
        <v>9</v>
      </c>
      <c r="F37" s="9">
        <v>5138</v>
      </c>
      <c r="G37" s="7">
        <v>1219215</v>
      </c>
      <c r="H37" s="8" t="str">
        <f t="shared" si="0"/>
        <v>BRAND1</v>
      </c>
    </row>
    <row r="38" spans="1:8" x14ac:dyDescent="0.2">
      <c r="A38" s="3" t="s">
        <v>6</v>
      </c>
      <c r="B38" s="6">
        <v>44470</v>
      </c>
      <c r="C38" s="3" t="s">
        <v>5</v>
      </c>
      <c r="D38" s="5">
        <v>152672</v>
      </c>
      <c r="E38" s="3" t="s">
        <v>9</v>
      </c>
      <c r="F38" s="9">
        <v>29233</v>
      </c>
      <c r="G38" s="7">
        <v>5437749</v>
      </c>
      <c r="H38" s="8" t="str">
        <f t="shared" si="0"/>
        <v>BRAND1</v>
      </c>
    </row>
    <row r="39" spans="1:8" x14ac:dyDescent="0.2">
      <c r="A39" s="3" t="s">
        <v>6</v>
      </c>
      <c r="B39" s="6">
        <v>44501</v>
      </c>
      <c r="C39" s="3" t="s">
        <v>5</v>
      </c>
      <c r="D39" s="5">
        <v>152672</v>
      </c>
      <c r="E39" s="3" t="s">
        <v>9</v>
      </c>
      <c r="F39" s="9">
        <v>29095</v>
      </c>
      <c r="G39" s="7">
        <v>5471008</v>
      </c>
      <c r="H39" s="8" t="str">
        <f t="shared" si="0"/>
        <v>BRAND1</v>
      </c>
    </row>
    <row r="40" spans="1:8" x14ac:dyDescent="0.2">
      <c r="A40" s="3" t="s">
        <v>6</v>
      </c>
      <c r="B40" s="6">
        <v>44531</v>
      </c>
      <c r="C40" s="3" t="s">
        <v>5</v>
      </c>
      <c r="D40" s="5">
        <v>152672</v>
      </c>
      <c r="E40" s="3" t="s">
        <v>9</v>
      </c>
      <c r="F40" s="9">
        <v>36249</v>
      </c>
      <c r="G40" s="7">
        <v>6824789</v>
      </c>
      <c r="H40" s="8" t="str">
        <f t="shared" si="0"/>
        <v>BRAND1</v>
      </c>
    </row>
    <row r="41" spans="1:8" x14ac:dyDescent="0.2">
      <c r="A41" s="3" t="s">
        <v>6</v>
      </c>
      <c r="B41" s="6">
        <v>44682</v>
      </c>
      <c r="C41" s="3" t="s">
        <v>5</v>
      </c>
      <c r="D41" s="5">
        <v>152672</v>
      </c>
      <c r="E41" s="3" t="s">
        <v>9</v>
      </c>
      <c r="F41" s="9">
        <v>8954</v>
      </c>
      <c r="G41" s="7">
        <v>2141320</v>
      </c>
      <c r="H41" s="8" t="str">
        <f t="shared" si="0"/>
        <v>BRAND1</v>
      </c>
    </row>
    <row r="42" spans="1:8" x14ac:dyDescent="0.2">
      <c r="A42" s="3" t="s">
        <v>6</v>
      </c>
      <c r="B42" s="6">
        <v>44713</v>
      </c>
      <c r="C42" s="3" t="s">
        <v>5</v>
      </c>
      <c r="D42" s="5">
        <v>152672</v>
      </c>
      <c r="E42" s="3" t="s">
        <v>9</v>
      </c>
      <c r="F42" s="9">
        <v>6263</v>
      </c>
      <c r="G42" s="7">
        <v>1447770</v>
      </c>
      <c r="H42" s="8" t="str">
        <f t="shared" si="0"/>
        <v>BRAND1</v>
      </c>
    </row>
    <row r="43" spans="1:8" x14ac:dyDescent="0.2">
      <c r="A43" s="3" t="s">
        <v>6</v>
      </c>
      <c r="B43" s="6">
        <v>44743</v>
      </c>
      <c r="C43" s="3" t="s">
        <v>5</v>
      </c>
      <c r="D43" s="5">
        <v>152673</v>
      </c>
      <c r="E43" s="2" t="s">
        <v>9</v>
      </c>
      <c r="F43" s="9">
        <v>6206</v>
      </c>
      <c r="G43" s="7">
        <v>1370907</v>
      </c>
      <c r="H43" s="8" t="str">
        <f t="shared" si="0"/>
        <v>BRAND1</v>
      </c>
    </row>
    <row r="44" spans="1:8" x14ac:dyDescent="0.2">
      <c r="A44" s="3" t="s">
        <v>14</v>
      </c>
      <c r="B44" s="6">
        <v>44774</v>
      </c>
      <c r="C44" s="3" t="s">
        <v>5</v>
      </c>
      <c r="D44" s="5">
        <v>152673</v>
      </c>
      <c r="E44" s="3" t="s">
        <v>9</v>
      </c>
      <c r="F44" s="9">
        <v>7556</v>
      </c>
      <c r="G44" s="7">
        <v>1675645</v>
      </c>
      <c r="H44" s="8" t="str">
        <f t="shared" si="0"/>
        <v>BRAND1</v>
      </c>
    </row>
    <row r="45" spans="1:8" x14ac:dyDescent="0.2">
      <c r="A45" s="3" t="s">
        <v>6</v>
      </c>
      <c r="B45" s="6">
        <v>44805</v>
      </c>
      <c r="C45" s="3" t="s">
        <v>5</v>
      </c>
      <c r="D45" s="5">
        <v>152670</v>
      </c>
      <c r="E45" s="3" t="s">
        <v>9</v>
      </c>
      <c r="F45" s="9">
        <v>7767</v>
      </c>
      <c r="G45" s="7">
        <v>1741821</v>
      </c>
      <c r="H45" s="8" t="str">
        <f t="shared" si="0"/>
        <v>BRAND1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4F55-1E86-4A7F-B734-39DC701715D3}">
  <sheetPr>
    <tabColor rgb="FFFF0000"/>
  </sheetPr>
  <dimension ref="A1:C7"/>
  <sheetViews>
    <sheetView zoomScale="110" zoomScaleNormal="110" workbookViewId="0">
      <selection activeCell="D20" sqref="D20"/>
    </sheetView>
  </sheetViews>
  <sheetFormatPr defaultColWidth="8.88671875" defaultRowHeight="10.199999999999999" x14ac:dyDescent="0.2"/>
  <cols>
    <col min="1" max="1" width="2.33203125" style="1" bestFit="1" customWidth="1"/>
    <col min="2" max="2" width="43.6640625" style="1" bestFit="1" customWidth="1"/>
    <col min="3" max="3" width="11.21875" style="1" bestFit="1" customWidth="1"/>
    <col min="4" max="16384" width="8.88671875" style="1"/>
  </cols>
  <sheetData>
    <row r="1" spans="1:3" x14ac:dyDescent="0.2">
      <c r="A1" s="11" t="s">
        <v>23</v>
      </c>
      <c r="B1" s="11" t="s">
        <v>22</v>
      </c>
      <c r="C1" s="11" t="s">
        <v>21</v>
      </c>
    </row>
    <row r="2" spans="1:3" x14ac:dyDescent="0.2">
      <c r="A2" s="1">
        <v>1</v>
      </c>
      <c r="B2" s="1" t="s">
        <v>15</v>
      </c>
      <c r="C2" s="14">
        <f>SUMIF(Data!E:E,"*BRAND1*",Data!G:G)</f>
        <v>102358765.98999999</v>
      </c>
    </row>
    <row r="3" spans="1:3" x14ac:dyDescent="0.2">
      <c r="A3" s="1">
        <v>2</v>
      </c>
      <c r="B3" s="1" t="s">
        <v>25</v>
      </c>
      <c r="C3" s="14">
        <f>SUMIFS(Data!G:G, Data!D:D, 152670, Data!B:B, "09.2022")</f>
        <v>1741821</v>
      </c>
    </row>
    <row r="4" spans="1:3" x14ac:dyDescent="0.2">
      <c r="A4" s="1">
        <v>3</v>
      </c>
      <c r="B4" s="1" t="s">
        <v>16</v>
      </c>
      <c r="C4" s="15">
        <f>SUMIFS(Data!F:F,Data!A:A,"*Client1*",Data!C:C,"*Online*")</f>
        <v>37241</v>
      </c>
    </row>
    <row r="5" spans="1:3" x14ac:dyDescent="0.2">
      <c r="A5" s="1">
        <v>4</v>
      </c>
      <c r="B5" s="1" t="s">
        <v>17</v>
      </c>
      <c r="C5" s="15">
        <f>SUMIFS(Data!G:G,Data!B:B,"&gt;="&amp;DATE(2022,1,1),Data!B:B,"&lt;"&amp;DATE(2023,1,1))</f>
        <v>51033691</v>
      </c>
    </row>
    <row r="6" spans="1:3" x14ac:dyDescent="0.2">
      <c r="A6" s="1">
        <v>5</v>
      </c>
      <c r="B6" s="1" t="s">
        <v>20</v>
      </c>
      <c r="C6" s="16" t="s">
        <v>24</v>
      </c>
    </row>
    <row r="7" spans="1:3" x14ac:dyDescent="0.2">
      <c r="A7" s="1">
        <v>6</v>
      </c>
      <c r="B7" s="1" t="s">
        <v>26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5CBF2AFFC9E74985354A6155374575" ma:contentTypeVersion="10" ma:contentTypeDescription="Create a new document." ma:contentTypeScope="" ma:versionID="037bf2854e2d281c69905af66a91e24c">
  <xsd:schema xmlns:xsd="http://www.w3.org/2001/XMLSchema" xmlns:xs="http://www.w3.org/2001/XMLSchema" xmlns:p="http://schemas.microsoft.com/office/2006/metadata/properties" xmlns:ns2="71c2ea31-f2b5-4e78-a4da-6e4eabbe9e22" xmlns:ns3="10fa8e57-2048-4224-af6b-1df7da1f9769" targetNamespace="http://schemas.microsoft.com/office/2006/metadata/properties" ma:root="true" ma:fieldsID="ef6c6ffc7e5ac132905a80a9be059b7f" ns2:_="" ns3:_="">
    <xsd:import namespace="71c2ea31-f2b5-4e78-a4da-6e4eabbe9e22"/>
    <xsd:import namespace="10fa8e57-2048-4224-af6b-1df7da1f97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2ea31-f2b5-4e78-a4da-6e4eabbe9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fa8e57-2048-4224-af6b-1df7da1f9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0DF014-3CB4-4871-BCFE-6CE92B83A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2ea31-f2b5-4e78-a4da-6e4eabbe9e22"/>
    <ds:schemaRef ds:uri="10fa8e57-2048-4224-af6b-1df7da1f9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EBE47E-17AC-40D5-B946-0B2D6CBBEE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5DFF422-3E21-41E7-AC3E-F8165C496F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Data</vt:lpstr>
      <vt:lpstr>Завдання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Yuliia, Vitryak</dc:creator>
  <cp:lastModifiedBy>user</cp:lastModifiedBy>
  <dcterms:created xsi:type="dcterms:W3CDTF">2015-06-05T18:17:20Z</dcterms:created>
  <dcterms:modified xsi:type="dcterms:W3CDTF">2026-05-17T19:14:59Z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a425e9-ff5b-4164-ab21-177a29e6432d_Enabled">
    <vt:lpwstr>True</vt:lpwstr>
  </property>
  <property fmtid="{D5CDD505-2E9C-101B-9397-08002B2CF9AE}" pid="3" name="MSIP_Label_f3a425e9-ff5b-4164-ab21-177a29e6432d_SiteId">
    <vt:lpwstr>fee2180b-69b6-4afe-9f14-ccd70bd4c737</vt:lpwstr>
  </property>
  <property fmtid="{D5CDD505-2E9C-101B-9397-08002B2CF9AE}" pid="4" name="MSIP_Label_f3a425e9-ff5b-4164-ab21-177a29e6432d_Owner">
    <vt:lpwstr>vitryak.yuliia@kcc.com</vt:lpwstr>
  </property>
  <property fmtid="{D5CDD505-2E9C-101B-9397-08002B2CF9AE}" pid="5" name="MSIP_Label_f3a425e9-ff5b-4164-ab21-177a29e6432d_SetDate">
    <vt:lpwstr>2021-08-05T10:23:41.9964096Z</vt:lpwstr>
  </property>
  <property fmtid="{D5CDD505-2E9C-101B-9397-08002B2CF9AE}" pid="6" name="MSIP_Label_f3a425e9-ff5b-4164-ab21-177a29e6432d_Name">
    <vt:lpwstr>K-C Internal Only</vt:lpwstr>
  </property>
  <property fmtid="{D5CDD505-2E9C-101B-9397-08002B2CF9AE}" pid="7" name="MSIP_Label_f3a425e9-ff5b-4164-ab21-177a29e6432d_Application">
    <vt:lpwstr>Microsoft Azure Information Protection</vt:lpwstr>
  </property>
  <property fmtid="{D5CDD505-2E9C-101B-9397-08002B2CF9AE}" pid="8" name="MSIP_Label_f3a425e9-ff5b-4164-ab21-177a29e6432d_ActionId">
    <vt:lpwstr>04e57213-dfb4-4541-b6a4-7ebb7152f9cc</vt:lpwstr>
  </property>
  <property fmtid="{D5CDD505-2E9C-101B-9397-08002B2CF9AE}" pid="9" name="MSIP_Label_f3a425e9-ff5b-4164-ab21-177a29e6432d_Extended_MSFT_Method">
    <vt:lpwstr>Manual</vt:lpwstr>
  </property>
  <property fmtid="{D5CDD505-2E9C-101B-9397-08002B2CF9AE}" pid="10" name="KCAutoClass">
    <vt:lpwstr>K-C Internal Only Without Content Marking</vt:lpwstr>
  </property>
  <property fmtid="{D5CDD505-2E9C-101B-9397-08002B2CF9AE}" pid="11" name="ContentTypeId">
    <vt:lpwstr>0x010100835CBF2AFFC9E74985354A6155374575</vt:lpwstr>
  </property>
  <property fmtid="{D5CDD505-2E9C-101B-9397-08002B2CF9AE}" pid="12" name="MSIP_Label_3f52e709-27cd-4bee-a620-278331e736b2_Enabled">
    <vt:lpwstr>true</vt:lpwstr>
  </property>
  <property fmtid="{D5CDD505-2E9C-101B-9397-08002B2CF9AE}" pid="13" name="MSIP_Label_3f52e709-27cd-4bee-a620-278331e736b2_SetDate">
    <vt:lpwstr>2022-07-04T10:51:55Z</vt:lpwstr>
  </property>
  <property fmtid="{D5CDD505-2E9C-101B-9397-08002B2CF9AE}" pid="14" name="MSIP_Label_3f52e709-27cd-4bee-a620-278331e736b2_Method">
    <vt:lpwstr>Privileged</vt:lpwstr>
  </property>
  <property fmtid="{D5CDD505-2E9C-101B-9397-08002B2CF9AE}" pid="15" name="MSIP_Label_3f52e709-27cd-4bee-a620-278331e736b2_Name">
    <vt:lpwstr>3f52e709-27cd-4bee-a620-278331e736b2</vt:lpwstr>
  </property>
  <property fmtid="{D5CDD505-2E9C-101B-9397-08002B2CF9AE}" pid="16" name="MSIP_Label_3f52e709-27cd-4bee-a620-278331e736b2_SiteId">
    <vt:lpwstr>fee2180b-69b6-4afe-9f14-ccd70bd4c737</vt:lpwstr>
  </property>
  <property fmtid="{D5CDD505-2E9C-101B-9397-08002B2CF9AE}" pid="17" name="MSIP_Label_3f52e709-27cd-4bee-a620-278331e736b2_ActionId">
    <vt:lpwstr>04e57213-dfb4-4541-b6a4-7ebb7152f9cc</vt:lpwstr>
  </property>
  <property fmtid="{D5CDD505-2E9C-101B-9397-08002B2CF9AE}" pid="18" name="MSIP_Label_3f52e709-27cd-4bee-a620-278331e736b2_ContentBits">
    <vt:lpwstr>0</vt:lpwstr>
  </property>
</Properties>
</file>